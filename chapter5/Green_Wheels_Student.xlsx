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12274ba9b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1ca82901f7fb44b2"/>
    <x:sheet xmlns:r="http://schemas.openxmlformats.org/officeDocument/2006/relationships" name="Inputs" sheetId="2" r:id="Rc966de5960184fe8"/>
    <x:sheet xmlns:r="http://schemas.openxmlformats.org/officeDocument/2006/relationships" name="Review" sheetId="3" r:id="R41c58bc665e3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(#,##0.00);&quot;–&quot;"/>
    <x:numFmt numFmtId="201" formatCode="&quot;Year &quot;0"/>
    <x:numFmt numFmtId="202" formatCode="#,##0.00"/>
    <x:numFmt numFmtId="203" formatCode="0.0000"/>
    <x:numFmt numFmtId="204" formatCode="0.00%"/>
    <x:numFmt numFmtId="205" formatCode="0"/>
    <x:numFmt numFmtId="206" formatCode="0.00"/>
    <x:numFmt numFmtId="207" formatCode="0.0%"/>
    <x:numFmt numFmtId="208" formatCode="0%"/>
    <x:numFmt numFmtId="209" formatCode="#,##0"/>
  </x:numFmts>
  <x:fonts count="10">
    <x:font>
      <x:sz val="11"/>
      <x:name val="Carlito"/>
    </x:font>
    <x:font>
      <x:sz val="11"/>
      <x:color rgb="FF20343B"/>
      <x:name val="Arial"/>
    </x:font>
    <x:font>
      <x:b/>
      <x:sz val="17"/>
      <x:color rgb="FF20343B"/>
      <x:name val="Arial"/>
    </x:font>
    <x:font>
      <x:sz val="11"/>
      <x:color rgb="FF111111"/>
      <x:name val="Arial"/>
    </x:font>
    <x:font>
      <x:b/>
      <x:sz val="11"/>
      <x:color rgb="FFFFFFFF"/>
      <x:name val="Arial"/>
    </x:font>
    <x:font>
      <x:b/>
      <x:sz val="11"/>
      <x:color rgb="FF20343B"/>
      <x:name val="Arial"/>
    </x:font>
    <x:font>
      <x:b/>
      <x:sz val="11"/>
      <x:color rgb="FF111111"/>
      <x:name val="Arial"/>
    </x:font>
    <x:font>
      <x:sz val="10"/>
      <x:color rgb="FF20343B"/>
      <x:name val="Arial"/>
    </x:font>
    <x:font>
      <x:sz val="11"/>
      <x:color rgb="FF1859A8"/>
      <x:name val="Arial"/>
    </x:font>
    <x:font>
      <x:sz val="11"/>
      <x:color rgb="FF26734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8F0F7"/>
      </x:patternFill>
    </x:fill>
    <x:fill>
      <x:patternFill patternType="solid">
        <x:fgColor rgb="FF356657"/>
      </x:patternFill>
    </x:fill>
    <x:fill>
      <x:patternFill patternType="solid">
        <x:fgColor rgb="FFF1F1ED"/>
      </x:patternFill>
    </x:fill>
    <x:fill>
      <x:patternFill patternType="solid">
        <x:fgColor rgb="FFFFF0C2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B6C7C0"/>
      </x:top>
      <x:bottom/>
      <x:diagonal/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200" fontId="3" fillId="4" borderId="0" xfId="0" applyNumberFormat="1" applyFont="1" applyFill="1" applyBorder="1"/>
    <x:xf numFmtId="202" fontId="3" fillId="4" borderId="0" xfId="0" applyNumberFormat="1" applyFont="1" applyFill="1" applyBorder="1"/>
    <x:xf numFmtId="202" fontId="3" fillId="2" borderId="0" xfId="0" applyNumberFormat="1" applyFont="1" applyFill="1" applyBorder="1"/>
    <x:xf numFmtId="203" fontId="3" fillId="2" borderId="0" xfId="0" applyNumberFormat="1" applyFont="1" applyFill="1" applyBorder="1"/>
    <x:xf numFmtId="204" fontId="3" fillId="2" borderId="0" xfId="0" applyNumberFormat="1" applyFont="1" applyFill="1" applyBorder="1"/>
    <x:xf numFmtId="205" fontId="3" fillId="2" borderId="0" xfId="0" applyNumberFormat="1" applyFont="1" applyFill="1" applyBorder="1"/>
    <x:xf numFmtId="0" fontId="5" fillId="0" borderId="0" xfId="0" applyNumberFormat="1" applyFont="1" applyFill="1" applyBorder="1"/>
    <x:xf numFmtId="200" fontId="6" fillId="4" borderId="0" xfId="0" applyNumberFormat="1" applyFont="1" applyFill="1" applyBorder="1"/>
    <x:xf numFmtId="200" fontId="6" fillId="2" borderId="0" xfId="0" applyNumberFormat="1" applyFont="1" applyFill="1" applyBorder="1"/>
    <x:xf numFmtId="0" fontId="5" fillId="0" borderId="1" xfId="0" applyNumberFormat="1" applyFont="1" applyFill="1" applyBorder="1"/>
    <x:xf numFmtId="200" fontId="6" fillId="4" borderId="1" xfId="0" applyNumberFormat="1" applyFont="1" applyFill="1" applyBorder="1"/>
    <x:xf numFmtId="200" fontId="6" fillId="2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0" fontId="8" fillId="5" borderId="0" xfId="0" applyNumberFormat="1" applyFont="1" applyFill="1" applyBorder="1"/>
    <x:xf numFmtId="206" fontId="8" fillId="5" borderId="0" xfId="0" applyNumberFormat="1" applyFont="1" applyFill="1" applyBorder="1"/>
    <x:xf numFmtId="207" fontId="8" fillId="5" borderId="0" xfId="0" applyNumberFormat="1" applyFont="1" applyFill="1" applyBorder="1"/>
    <x:xf numFmtId="207" fontId="1" fillId="0" borderId="0" xfId="0" applyNumberFormat="1" applyFont="1" applyFill="1" applyBorder="1"/>
    <x:xf numFmtId="206" fontId="1" fillId="0" borderId="0" xfId="0" applyNumberFormat="1" applyFont="1" applyFill="1" applyBorder="1"/>
    <x:xf numFmtId="208" fontId="1" fillId="0" borderId="0" xfId="0" applyNumberFormat="1" applyFont="1" applyFill="1" applyBorder="1"/>
    <x:xf numFmtId="202" fontId="9" fillId="2" borderId="0" xfId="0" applyNumberFormat="1" applyFont="1" applyFill="1" applyBorder="1"/>
    <x:xf numFmtId="202" fontId="9" fillId="6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2" fontId="9" fillId="6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6" fillId="4" borderId="1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4" fontId="3" fillId="2" borderId="0" xfId="0" applyNumberFormat="1" applyFont="1" applyFill="1" applyBorder="1" applyAlignment="1">
      <x:alignment vertical="center" wrapText="1"/>
    </x:xf>
    <x:xf numFmtId="205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2" fontId="3" fillId="4" borderId="0" xfId="0" applyNumberFormat="1" applyFont="1" applyFill="1" applyBorder="1" applyAlignment="1">
      <x:alignment vertical="center" wrapText="1"/>
    </x:xf>
    <x:xf numFmtId="202" fontId="9" fillId="6" borderId="0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200" fontId="6" fillId="2" borderId="1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vertical="center" wrapText="1"/>
    </x:xf>
    <x:xf numFmtId="206" fontId="8" fillId="5" borderId="0" xfId="0" applyNumberFormat="1" applyFont="1" applyFill="1" applyBorder="1" applyAlignment="1">
      <x:alignment vertical="center"/>
    </x:xf>
    <x:xf numFmtId="207" fontId="8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6" fontId="8" fillId="5" borderId="0" xfId="0" applyNumberFormat="1" applyFont="1" applyFill="1" applyBorder="1" applyAlignment="1">
      <x:alignment vertical="center" wrapText="1"/>
    </x:xf>
    <x:xf numFmtId="207" fontId="8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 wrapText="1"/>
    </x:xf>
    <x:xf numFmtId="209" fontId="8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7fc962919409d" /><Relationship Type="http://schemas.openxmlformats.org/officeDocument/2006/relationships/theme" Target="/xl/theme/theme1.xml" Id="Rd92c2644b4c947f2" /><Relationship Type="http://schemas.openxmlformats.org/officeDocument/2006/relationships/sharedStrings" Target="/xl/sharedStrings.xml" Id="R129771799fcc428f" /><Relationship Type="http://schemas.openxmlformats.org/officeDocument/2006/relationships/worksheet" Target="/xl/worksheets/sheet1.xml" Id="R1ca82901f7fb44b2" /><Relationship Type="http://schemas.openxmlformats.org/officeDocument/2006/relationships/worksheet" Target="/xl/worksheets/sheet2.xml" Id="Rc966de5960184fe8" /><Relationship Type="http://schemas.openxmlformats.org/officeDocument/2006/relationships/worksheet" Target="/xl/worksheets/sheet3.xml" Id="R41c58bc665e346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56657"/>
  </x:sheetPr>
  <x:sheetViews>
    <x:sheetView showGridLines="0" workbookViewId="0">
      <x:pane xSplit="3" ySplit="14" topLeftCell="D15" activePane="bottomRight" state="frozen"/>
    </x:sheetView>
  </x:sheetViews>
  <x:sheetFormatPr defaultRowHeight="15"/>
  <x:cols>
    <x:col min="1" max="1" width="3" hidden="0" customWidth="1"/>
    <x:col min="2" max="2" width="31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4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"/>
      <x:c r="B2" s="50" t="str">
        <x:v>Green Wheels | Business case</x:v>
      </x:c>
      <x:c r="C2" s="50"/>
      <x:c r="D2" s="50"/>
      <x:c r="E2" s="50"/>
      <x:c r="F2" s="50"/>
      <x:c r="G2" s="50"/>
      <x:c r="H2" s="50"/>
      <x:c r="I2" s="50"/>
      <x:c r="J2" s="35"/>
      <x:c r="K2" s="35"/>
    </x:row>
    <x:row r="3" ht="23" customHeight="1">
      <x:c r="A3" s="1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 ht="25" customHeight="1">
      <x:c r="A4" s="1"/>
      <x:c r="B4" s="35" t="str">
        <x:v>Work in Inputs first. Build formulas in the blue cells. Check results on the case website after each
gate.</x:v>
      </x:c>
      <x:c r="C4" s="35"/>
      <x:c r="D4" s="35"/>
      <x:c r="E4" s="35"/>
      <x:c r="F4" s="35"/>
      <x:c r="G4" s="35"/>
      <x:c r="H4" s="35"/>
      <x:c r="I4" s="35"/>
      <x:c r="J4" s="35"/>
      <x:c r="K4" s="35"/>
    </x:row>
    <x:row r="5" ht="25" customHeight="1">
      <x:c r="A5" s="1"/>
      <x:c r="B5" s="35"/>
      <x:c r="C5" s="35"/>
      <x:c r="D5" s="35"/>
      <x:c r="E5" s="35"/>
      <x:c r="F5" s="35"/>
      <x:c r="G5" s="35"/>
      <x:c r="H5" s="35"/>
      <x:c r="I5" s="35"/>
      <x:c r="J5" s="35"/>
      <x:c r="K5" s="35"/>
    </x:row>
    <x:row r="6" ht="23" customHeight="1">
      <x:c r="A6" s="1"/>
      <x:c r="B6" s="35"/>
      <x:c r="C6" s="35"/>
      <x:c r="D6" s="35"/>
      <x:c r="E6" s="35"/>
      <x:c r="F6" s="35"/>
      <x:c r="G6" s="35"/>
      <x:c r="H6" s="35"/>
      <x:c r="I6" s="35"/>
      <x:c r="J6" s="35"/>
      <x:c r="K6" s="35"/>
    </x:row>
    <x:row r="7" ht="23" customHeight="1">
      <x:c r="A7" s="1"/>
      <x:c r="B7" s="35" t="str">
        <x:v>Net present value</x:v>
      </x:c>
      <x:c r="C7" s="35" t="str">
        <x:v>EUR</x:v>
      </x:c>
      <x:c r="D7" s="35"/>
      <x:c r="E7" s="51"/>
      <x:c r="F7" s="35"/>
      <x:c r="G7" s="35" t="str">
        <x:v>Gate 3: build both NPV calculations.
They must agree.</x:v>
      </x:c>
      <x:c r="H7" s="35"/>
      <x:c r="I7" s="35"/>
      <x:c r="J7" s="35"/>
      <x:c r="K7" s="35"/>
    </x:row>
    <x:row r="8" ht="23" customHeight="1">
      <x:c r="A8" s="1"/>
      <x:c r="B8" s="35" t="str">
        <x:v>Internal rate of return</x:v>
      </x:c>
      <x:c r="C8" s="35" t="str">
        <x:v>%</x:v>
      </x:c>
      <x:c r="D8" s="35"/>
      <x:c r="E8" s="52"/>
      <x:c r="F8" s="35"/>
      <x:c r="G8" s="35"/>
      <x:c r="H8" s="35"/>
      <x:c r="I8" s="35"/>
      <x:c r="J8" s="35"/>
      <x:c r="K8" s="35"/>
    </x:row>
    <x:row r="9" ht="23" customHeight="1">
      <x:c r="A9" s="1"/>
      <x:c r="B9" s="35" t="str">
        <x:v>Payback: first year-end</x:v>
      </x:c>
      <x:c r="C9" s="35" t="str">
        <x:v>years</x:v>
      </x:c>
      <x:c r="D9" s="35"/>
      <x:c r="E9" s="53"/>
      <x:c r="F9" s="35"/>
      <x:c r="G9" s="35" t="str">
        <x:v>Year-end cash flows: report the first
whole year with nonnegative cumulative
cash flow.</x:v>
      </x:c>
      <x:c r="H9" s="35"/>
      <x:c r="I9" s="35"/>
      <x:c r="J9" s="35"/>
      <x:c r="K9" s="35"/>
    </x:row>
    <x:row r="10" ht="23" customHeight="1">
      <x:c r="A10" s="1"/>
      <x:c r="B10" s="35" t="str">
        <x:v>NPV: sum of present values</x:v>
      </x:c>
      <x:c r="C10" s="35" t="str">
        <x:v>EUR</x:v>
      </x:c>
      <x:c r="D10" s="35"/>
      <x:c r="E10" s="51"/>
      <x:c r="F10" s="35"/>
      <x:c r="G10" s="35"/>
      <x:c r="H10" s="35"/>
      <x:c r="I10" s="35"/>
      <x:c r="J10" s="35"/>
      <x:c r="K10" s="35"/>
    </x:row>
    <x:row r="11" ht="23" customHeight="1">
      <x:c r="A11" s="1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</x:row>
    <x:row r="12" ht="23" customHeight="1">
      <x:c r="A12" s="1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</x:row>
    <x:row r="13" ht="23" customHeight="1">
      <x:c r="A13" s="1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</x:row>
    <x:row r="14" ht="23" customHeight="1">
      <x:c r="A14" s="1"/>
      <x:c r="B14" s="54" t="str">
        <x:v>Business model</x:v>
      </x:c>
      <x:c r="C14" s="54" t="str">
        <x:v>Unit</x:v>
      </x:c>
      <x:c r="D14" s="55" t="n">
        <x:v>0</x:v>
      </x:c>
      <x:c r="E14" s="55" t="n">
        <x:v>1</x:v>
      </x:c>
      <x:c r="F14" s="55" t="n">
        <x:v>2</x:v>
      </x:c>
      <x:c r="G14" s="55" t="n">
        <x:v>3</x:v>
      </x:c>
      <x:c r="H14" s="55" t="n">
        <x:v>4</x:v>
      </x:c>
      <x:c r="I14" s="55" t="n">
        <x:v>5</x:v>
      </x:c>
      <x:c r="J14" s="35"/>
      <x:c r="K14" s="35"/>
    </x:row>
    <x:row r="15" ht="23" customHeight="1">
      <x:c r="A15" s="1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</x:row>
    <x:row r="16" ht="43" customHeight="1">
      <x:c r="A16" s="1"/>
      <x:c r="B16" s="35" t="str">
        <x:v>Customers</x:v>
      </x:c>
      <x:c r="C16" s="35" t="str">
        <x:v>customers</x:v>
      </x:c>
      <x:c r="D16" s="56" t="n">
        <x:v>0</x:v>
      </x:c>
      <x:c r="E16" s="57" t="str">
        <x:f>IF(COUNT(Inputs!C6:C7)&lt;2,"",Inputs!C6*Inputs!C7)</x:f>
      </x:c>
      <x:c r="F16" s="57" t="str">
        <x:f>IF(AND(ISNUMBER(E16),ISNUMBER(Inputs!$C$8)),E16*(1+Inputs!$C$8),"")</x:f>
      </x:c>
      <x:c r="G16" s="58"/>
      <x:c r="H16" s="58"/>
      <x:c r="I16" s="58"/>
      <x:c r="J16" s="35"/>
      <x:c r="K16" s="44" t="str">
        <x:v>Year 1 = population × customer share. Year 2 =
prior year × (1 + growth). Do not round formulas.</x:v>
      </x:c>
    </x:row>
    <x:row r="17" ht="32" customHeight="1">
      <x:c r="A17" s="1"/>
      <x:c r="B17" s="35" t="str">
        <x:v>Rides</x:v>
      </x:c>
      <x:c r="C17" s="35" t="str">
        <x:v>rides</x:v>
      </x:c>
      <x:c r="D17" s="56" t="n">
        <x:v>0</x:v>
      </x:c>
      <x:c r="E17" s="57" t="str">
        <x:f>IF(ISNUMBER(E16),E16*Inputs!$C$9,"")</x:f>
      </x:c>
      <x:c r="F17" s="58"/>
      <x:c r="G17" s="58"/>
      <x:c r="H17" s="58"/>
      <x:c r="I17" s="58"/>
      <x:c r="J17" s="35"/>
      <x:c r="K17" s="44" t="str">
        <x:v>Customers × rides per customer per year.</x:v>
      </x:c>
    </x:row>
    <x:row r="18" ht="32" customHeight="1">
      <x:c r="A18" s="1"/>
      <x:c r="B18" s="35" t="str">
        <x:v>Subscription revenue</x:v>
      </x:c>
      <x:c r="C18" s="35" t="str">
        <x:v>EUR</x:v>
      </x:c>
      <x:c r="D18" s="59" t="n">
        <x:v>0</x:v>
      </x:c>
      <x:c r="E18" s="51"/>
      <x:c r="F18" s="51"/>
      <x:c r="G18" s="51"/>
      <x:c r="H18" s="51"/>
      <x:c r="I18" s="51"/>
      <x:c r="J18" s="35"/>
      <x:c r="K18" s="44" t="str">
        <x:v>Customers × monthly fee × months per year.</x:v>
      </x:c>
    </x:row>
    <x:row r="19" ht="43" customHeight="1">
      <x:c r="A19" s="1"/>
      <x:c r="B19" s="35" t="str">
        <x:v>Ride revenue</x:v>
      </x:c>
      <x:c r="C19" s="35" t="str">
        <x:v>EUR</x:v>
      </x:c>
      <x:c r="D19" s="59" t="n">
        <x:v>0</x:v>
      </x:c>
      <x:c r="E19" s="51"/>
      <x:c r="F19" s="51"/>
      <x:c r="G19" s="51"/>
      <x:c r="H19" s="51"/>
      <x:c r="I19" s="51"/>
      <x:c r="J19" s="35"/>
      <x:c r="K19" s="44" t="str">
        <x:v>Rides × (ride duration / billing interval) ×
price per interval.</x:v>
      </x:c>
    </x:row>
    <x:row r="20" ht="32" customHeight="1">
      <x:c r="A20" s="1"/>
      <x:c r="B20" s="60" t="str">
        <x:v>Total revenue</x:v>
      </x:c>
      <x:c r="C20" s="60" t="str">
        <x:v>EUR</x:v>
      </x:c>
      <x:c r="D20" s="61" t="n">
        <x:v>0</x:v>
      </x:c>
      <x:c r="E20" s="62"/>
      <x:c r="F20" s="62"/>
      <x:c r="G20" s="62"/>
      <x:c r="H20" s="62"/>
      <x:c r="I20" s="62"/>
      <x:c r="J20" s="35"/>
      <x:c r="K20" s="44" t="str">
        <x:v>Add the two revenue streams with SUM.</x:v>
      </x:c>
    </x:row>
    <x:row r="21" ht="23" customHeight="1">
      <x:c r="A21" s="1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</x:row>
    <x:row r="22" ht="32" customHeight="1">
      <x:c r="A22" s="1"/>
      <x:c r="B22" s="35" t="str">
        <x:v>Maintenance / redistribution</x:v>
      </x:c>
      <x:c r="C22" s="35" t="str">
        <x:v>EUR</x:v>
      </x:c>
      <x:c r="D22" s="59" t="n">
        <x:v>0</x:v>
      </x:c>
      <x:c r="E22" s="51"/>
      <x:c r="F22" s="51"/>
      <x:c r="G22" s="51"/>
      <x:c r="H22" s="51"/>
      <x:c r="I22" s="51"/>
      <x:c r="J22" s="35"/>
      <x:c r="K22" s="44" t="str">
        <x:v>Rides × maintenance cost per ride. Enter expenses
as positive amounts.</x:v>
      </x:c>
    </x:row>
    <x:row r="23" ht="23" customHeight="1">
      <x:c r="A23" s="1"/>
      <x:c r="B23" s="35" t="str">
        <x:v>Administration</x:v>
      </x:c>
      <x:c r="C23" s="35" t="str">
        <x:v>EUR</x:v>
      </x:c>
      <x:c r="D23" s="59" t="n">
        <x:v>0</x:v>
      </x:c>
      <x:c r="E23" s="51"/>
      <x:c r="F23" s="51"/>
      <x:c r="G23" s="51"/>
      <x:c r="H23" s="51"/>
      <x:c r="I23" s="51"/>
      <x:c r="J23" s="35"/>
      <x:c r="K23" s="35"/>
    </x:row>
    <x:row r="24" ht="23" customHeight="1">
      <x:c r="A24" s="1"/>
      <x:c r="B24" s="35" t="str">
        <x:v>Customer support</x:v>
      </x:c>
      <x:c r="C24" s="35" t="str">
        <x:v>EUR</x:v>
      </x:c>
      <x:c r="D24" s="59" t="n">
        <x:v>0</x:v>
      </x:c>
      <x:c r="E24" s="51"/>
      <x:c r="F24" s="51"/>
      <x:c r="G24" s="51"/>
      <x:c r="H24" s="51"/>
      <x:c r="I24" s="51"/>
      <x:c r="J24" s="35"/>
      <x:c r="K24" s="35"/>
    </x:row>
    <x:row r="25" ht="43" customHeight="1">
      <x:c r="A25" s="1"/>
      <x:c r="B25" s="35" t="str">
        <x:v>App development expense</x:v>
      </x:c>
      <x:c r="C25" s="35" t="str">
        <x:v>EUR</x:v>
      </x:c>
      <x:c r="D25" s="51"/>
      <x:c r="E25" s="59" t="n">
        <x:v>0</x:v>
      </x:c>
      <x:c r="F25" s="59" t="n">
        <x:v>0</x:v>
      </x:c>
      <x:c r="G25" s="59" t="n">
        <x:v>0</x:v>
      </x:c>
      <x:c r="H25" s="59" t="n">
        <x:v>0</x:v>
      </x:c>
      <x:c r="I25" s="59" t="n">
        <x:v>0</x:v>
      </x:c>
      <x:c r="J25" s="35"/>
      <x:c r="K25" s="44" t="str">
        <x:v>Paid and expensed at date 0. No repeat app
expense in years 1–5.</x:v>
      </x:c>
    </x:row>
    <x:row r="26" ht="32" customHeight="1">
      <x:c r="A26" s="1"/>
      <x:c r="B26" s="35" t="str">
        <x:v>Depreciation</x:v>
      </x:c>
      <x:c r="C26" s="35" t="str">
        <x:v>EUR</x:v>
      </x:c>
      <x:c r="D26" s="59" t="n">
        <x:v>0</x:v>
      </x:c>
      <x:c r="E26" s="51"/>
      <x:c r="F26" s="51"/>
      <x:c r="G26" s="51"/>
      <x:c r="H26" s="51"/>
      <x:c r="I26" s="51"/>
      <x:c r="J26" s="35"/>
      <x:c r="K26" s="44" t="str">
        <x:v>Bicycle capex / useful life. App development is
expensed, not depreciated.</x:v>
      </x:c>
    </x:row>
    <x:row r="27" ht="32" customHeight="1">
      <x:c r="A27" s="1"/>
      <x:c r="B27" s="60" t="str">
        <x:v>EBIT</x:v>
      </x:c>
      <x:c r="C27" s="60" t="str">
        <x:v>EUR</x:v>
      </x:c>
      <x:c r="D27" s="62"/>
      <x:c r="E27" s="62"/>
      <x:c r="F27" s="62"/>
      <x:c r="G27" s="62"/>
      <x:c r="H27" s="62"/>
      <x:c r="I27" s="62"/>
      <x:c r="J27" s="35"/>
      <x:c r="K27" s="44" t="str">
        <x:v>Total revenue less operating expenses and
depreciation.</x:v>
      </x:c>
    </x:row>
    <x:row r="28" ht="43" customHeight="1">
      <x:c r="A28" s="1"/>
      <x:c r="B28" s="35" t="str">
        <x:v>Tax expense / (tax benefit)</x:v>
      </x:c>
      <x:c r="C28" s="35" t="str">
        <x:v>EUR</x:v>
      </x:c>
      <x:c r="D28" s="51"/>
      <x:c r="E28" s="51"/>
      <x:c r="F28" s="51"/>
      <x:c r="G28" s="51"/>
      <x:c r="H28" s="51"/>
      <x:c r="I28" s="51"/>
      <x:c r="J28" s="35"/>
      <x:c r="K28" s="44" t="str">
        <x:v>EBIT × tax rate. A negative amount at date 0 is
an immediate tax benefit.</x:v>
      </x:c>
    </x:row>
    <x:row r="29" ht="32" customHeight="1">
      <x:c r="A29" s="1"/>
      <x:c r="B29" s="60" t="str">
        <x:v>Profit after tax</x:v>
      </x:c>
      <x:c r="C29" s="60" t="str">
        <x:v>EUR</x:v>
      </x:c>
      <x:c r="D29" s="62"/>
      <x:c r="E29" s="62"/>
      <x:c r="F29" s="62"/>
      <x:c r="G29" s="62"/>
      <x:c r="H29" s="62"/>
      <x:c r="I29" s="62"/>
      <x:c r="J29" s="35"/>
      <x:c r="K29" s="44" t="str">
        <x:v>EBIT less tax expense.</x:v>
      </x:c>
    </x:row>
    <x:row r="30" ht="23" customHeight="1">
      <x:c r="A30" s="1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 ht="32" customHeight="1">
      <x:c r="A31" s="1"/>
      <x:c r="B31" s="35" t="str">
        <x:v>Add back depreciation</x:v>
      </x:c>
      <x:c r="C31" s="35" t="str">
        <x:v>EUR</x:v>
      </x:c>
      <x:c r="D31" s="59" t="n">
        <x:v>0</x:v>
      </x:c>
      <x:c r="E31" s="51"/>
      <x:c r="F31" s="51"/>
      <x:c r="G31" s="51"/>
      <x:c r="H31" s="51"/>
      <x:c r="I31" s="51"/>
      <x:c r="J31" s="35"/>
      <x:c r="K31" s="44" t="str">
        <x:v>Depreciation reduces profit but is not another
cash payment.</x:v>
      </x:c>
    </x:row>
    <x:row r="32" ht="43" customHeight="1">
      <x:c r="A32" s="1"/>
      <x:c r="B32" s="35" t="str">
        <x:v>Capital expenditure</x:v>
      </x:c>
      <x:c r="C32" s="35" t="str">
        <x:v>EUR</x:v>
      </x:c>
      <x:c r="D32" s="51"/>
      <x:c r="E32" s="59" t="n">
        <x:v>0</x:v>
      </x:c>
      <x:c r="F32" s="59" t="n">
        <x:v>0</x:v>
      </x:c>
      <x:c r="G32" s="59" t="n">
        <x:v>0</x:v>
      </x:c>
      <x:c r="H32" s="59" t="n">
        <x:v>0</x:v>
      </x:c>
      <x:c r="I32" s="59" t="n">
        <x:v>0</x:v>
      </x:c>
      <x:c r="J32" s="35"/>
      <x:c r="K32" s="44" t="str">
        <x:v>700 bikes purchased today. No replacements or
further capex in this teaching case.</x:v>
      </x:c>
    </x:row>
    <x:row r="33" ht="43" customHeight="1">
      <x:c r="A33" s="1"/>
      <x:c r="B33" s="60" t="str">
        <x:v>Free cash flow</x:v>
      </x:c>
      <x:c r="C33" s="60" t="str">
        <x:v>EUR</x:v>
      </x:c>
      <x:c r="D33" s="62"/>
      <x:c r="E33" s="62"/>
      <x:c r="F33" s="62"/>
      <x:c r="G33" s="62"/>
      <x:c r="H33" s="62"/>
      <x:c r="I33" s="62"/>
      <x:c r="J33" s="35"/>
      <x:c r="K33" s="44" t="str">
        <x:v>Profit after tax + depreciation − capex. No
working-capital change.</x:v>
      </x:c>
    </x:row>
    <x:row r="34" ht="23" customHeight="1">
      <x:c r="A34" s="1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 ht="32" customHeight="1">
      <x:c r="A35" s="1"/>
      <x:c r="B35" s="35" t="str">
        <x:v>Discount factor</x:v>
      </x:c>
      <x:c r="C35" s="35" t="str">
        <x:v>factor</x:v>
      </x:c>
      <x:c r="D35" s="63"/>
      <x:c r="E35" s="63"/>
      <x:c r="F35" s="63"/>
      <x:c r="G35" s="63"/>
      <x:c r="H35" s="63"/>
      <x:c r="I35" s="63"/>
      <x:c r="J35" s="35"/>
      <x:c r="K35" s="44" t="str">
        <x:v>1 / (1 + discount rate)^year. Lock the rate
reference.</x:v>
      </x:c>
    </x:row>
    <x:row r="36" ht="32" customHeight="1">
      <x:c r="A36" s="1"/>
      <x:c r="B36" s="60" t="str">
        <x:v>Present value of FCF</x:v>
      </x:c>
      <x:c r="C36" s="60" t="str">
        <x:v>EUR</x:v>
      </x:c>
      <x:c r="D36" s="62"/>
      <x:c r="E36" s="62"/>
      <x:c r="F36" s="62"/>
      <x:c r="G36" s="62"/>
      <x:c r="H36" s="62"/>
      <x:c r="I36" s="62"/>
      <x:c r="J36" s="35"/>
      <x:c r="K36" s="44" t="str">
        <x:v>FCF × discount factor.</x:v>
      </x:c>
    </x:row>
    <x:row r="37" ht="32" customHeight="1">
      <x:c r="A37" s="1"/>
      <x:c r="B37" s="60" t="str">
        <x:v>Cumulative FCF</x:v>
      </x:c>
      <x:c r="C37" s="60" t="str">
        <x:v>EUR</x:v>
      </x:c>
      <x:c r="D37" s="62"/>
      <x:c r="E37" s="62"/>
      <x:c r="F37" s="62"/>
      <x:c r="G37" s="62"/>
      <x:c r="H37" s="62"/>
      <x:c r="I37" s="62"/>
      <x:c r="J37" s="35"/>
      <x:c r="K37" s="44" t="str">
        <x:v>Year 0 = FCF0. Each later year = prior cumulative
amount + current FCF.</x:v>
      </x:c>
    </x:row>
    <x:row r="38" ht="23" customHeight="1">
      <x:c r="A38" s="1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</x:row>
    <x:row r="39" ht="23" customHeight="1">
      <x:c r="A39" s="1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</x:row>
    <x:row r="40" ht="23" customHeight="1">
      <x:c r="A40" s="1"/>
      <x:c r="B40" s="35" t="str">
        <x:v>BLUE: write a formula. AMBER on Inputs: enter a case assumption. Grey zeros and white example formulas
are supplied.</x:v>
      </x:c>
      <x:c r="C40" s="35"/>
      <x:c r="D40" s="35"/>
      <x:c r="E40" s="35"/>
      <x:c r="F40" s="35"/>
      <x:c r="G40" s="35"/>
      <x:c r="H40" s="35"/>
      <x:c r="I40" s="35"/>
      <x:c r="J40" s="35"/>
      <x:c r="K40" s="35"/>
    </x:row>
    <x:row r="41" ht="23" customHeight="1">
      <x:c r="A41" s="1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</x:row>
    <x:row r="42" ht="23" customHeight="1">
      <x:c r="A42" s="1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</x:row>
    <x:row r="43" ht="23" customHeight="1">
      <x:c r="A43" s="1"/>
      <x:c r="B43" s="35" t="str">
        <x:v>Cash flows occur at year-end except date 0. No residual value, inflation, financing cash flows or
working-capital investment. All prices are net of VAT for this exercise.</x:v>
      </x:c>
      <x:c r="C43" s="35"/>
      <x:c r="D43" s="35"/>
      <x:c r="E43" s="35"/>
      <x:c r="F43" s="35"/>
      <x:c r="G43" s="35"/>
      <x:c r="H43" s="35"/>
      <x:c r="I43" s="35"/>
      <x:c r="J43" s="35"/>
      <x:c r="K43" s="35"/>
    </x:row>
    <x:row r="44" ht="23" customHeight="1">
      <x:c r="A44" s="1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 ht="23" customHeight="1">
      <x:c r="A45" s="1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</x:sheetData>
  <x:mergeCells>
    <x:mergeCell ref="B2:I2"/>
    <x:mergeCell ref="B4:I5"/>
    <x:mergeCell ref="G7:I8"/>
    <x:mergeCell ref="G9:I11"/>
    <x:mergeCell ref="B40:I41"/>
    <x:mergeCell ref="B43:I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6657"/>
  </x:sheetPr>
  <x:sheetViews>
    <x:sheetView showGridLines="0" workbookViewId="0"/>
  </x:sheetViews>
  <x:sheetFormatPr defaultRowHeight="15"/>
  <x:cols>
    <x:col min="1" max="1" width="3" hidden="0" customWidth="1"/>
    <x:col min="2" max="2" width="37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4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"/>
      <x:c r="B2" s="50" t="str">
        <x:v>Green Wheels | Assumptions</x:v>
      </x:c>
      <x:c r="C2" s="50"/>
      <x:c r="D2" s="50"/>
      <x:c r="E2" s="50"/>
      <x:c r="F2" s="50"/>
      <x:c r="G2" s="50"/>
      <x:c r="H2" s="50"/>
      <x:c r="I2" s="50"/>
      <x:c r="J2" s="35"/>
      <x:c r="K2" s="35"/>
    </x:row>
    <x:row r="3" ht="23" customHeight="1">
      <x:c r="A3" s="1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 ht="23" customHeight="1">
      <x:c r="A4" s="1"/>
      <x:c r="B4" s="35" t="str">
        <x:v>Source: Case Study 3: Green Wheels Bike Sharing Start-Up (course handout). Figures are teaching
assumptions.</x:v>
      </x:c>
      <x:c r="C4" s="35"/>
      <x:c r="D4" s="35"/>
      <x:c r="E4" s="35"/>
      <x:c r="F4" s="35"/>
      <x:c r="G4" s="35"/>
      <x:c r="H4" s="35"/>
      <x:c r="I4" s="35"/>
      <x:c r="J4" s="35"/>
      <x:c r="K4" s="35"/>
    </x:row>
    <x:row r="5" ht="23" customHeight="1">
      <x:c r="A5" s="1"/>
      <x:c r="B5" s="35"/>
      <x:c r="C5" s="35"/>
      <x:c r="D5" s="35"/>
      <x:c r="E5" s="35"/>
      <x:c r="F5" s="35"/>
      <x:c r="G5" s="35"/>
      <x:c r="H5" s="35"/>
      <x:c r="I5" s="35"/>
      <x:c r="J5" s="35"/>
      <x:c r="K5" s="35"/>
    </x:row>
    <x:row r="6" ht="27" customHeight="1">
      <x:c r="A6" s="1"/>
      <x:c r="B6" s="35" t="str">
        <x:v>Population</x:v>
      </x:c>
      <x:c r="C6" s="78" t="n">
        <x:v>220000</x:v>
      </x:c>
      <x:c r="D6" s="35" t="str">
        <x:v>residents</x:v>
      </x:c>
      <x:c r="E6" s="35"/>
      <x:c r="F6" s="35"/>
      <x:c r="G6" s="35"/>
      <x:c r="H6" s="35"/>
      <x:c r="I6" s="35"/>
      <x:c r="J6" s="35"/>
      <x:c r="K6" s="35"/>
    </x:row>
    <x:row r="7" ht="27" customHeight="1">
      <x:c r="A7" s="1"/>
      <x:c r="B7" s="35" t="str">
        <x:v>Customer share in year 1</x:v>
      </x:c>
      <x:c r="C7" s="68"/>
      <x:c r="D7" s="35" t="str">
        <x:v>%</x:v>
      </x:c>
      <x:c r="E7" s="35"/>
      <x:c r="F7" s="35" t="str">
        <x:v>Copy the missing assumptions from the website. Enter 1%
as 1%, not 1. Keep all hardcoded assumptions here.</x:v>
      </x:c>
      <x:c r="G7" s="35"/>
      <x:c r="H7" s="35"/>
      <x:c r="I7" s="35"/>
      <x:c r="J7" s="35"/>
      <x:c r="K7" s="35"/>
    </x:row>
    <x:row r="8" ht="27" customHeight="1">
      <x:c r="A8" s="1"/>
      <x:c r="B8" s="35" t="str">
        <x:v>Annual customer growth</x:v>
      </x:c>
      <x:c r="C8" s="68"/>
      <x:c r="D8" s="35" t="str">
        <x:v>%</x:v>
      </x:c>
      <x:c r="E8" s="35"/>
      <x:c r="F8" s="35"/>
      <x:c r="G8" s="35"/>
      <x:c r="H8" s="35"/>
      <x:c r="I8" s="35"/>
      <x:c r="J8" s="35"/>
      <x:c r="K8" s="35"/>
    </x:row>
    <x:row r="9" ht="27" customHeight="1">
      <x:c r="A9" s="1"/>
      <x:c r="B9" s="35" t="str">
        <x:v>Rides per customer per year</x:v>
      </x:c>
      <x:c r="C9" s="78" t="n">
        <x:v>120</x:v>
      </x:c>
      <x:c r="D9" s="35" t="str">
        <x:v>rides</x:v>
      </x:c>
      <x:c r="E9" s="35"/>
      <x:c r="F9" s="35"/>
      <x:c r="G9" s="35"/>
      <x:c r="H9" s="35"/>
      <x:c r="I9" s="35"/>
      <x:c r="J9" s="35"/>
      <x:c r="K9" s="35"/>
    </x:row>
    <x:row r="10" ht="27" customHeight="1">
      <x:c r="A10" s="1"/>
      <x:c r="B10" s="35" t="str">
        <x:v>Average ride duration</x:v>
      </x:c>
      <x:c r="C10" s="67"/>
      <x:c r="D10" s="35" t="str">
        <x:v>hours</x:v>
      </x:c>
      <x:c r="E10" s="35"/>
      <x:c r="F10" s="35"/>
      <x:c r="G10" s="35"/>
      <x:c r="H10" s="35"/>
      <x:c r="I10" s="35"/>
      <x:c r="J10" s="35"/>
      <x:c r="K10" s="35"/>
    </x:row>
    <x:row r="11" ht="27" customHeight="1">
      <x:c r="A11" s="1"/>
      <x:c r="B11" s="35" t="str">
        <x:v>Billing interval</x:v>
      </x:c>
      <x:c r="C11" s="67" t="n">
        <x:v>0.5</x:v>
      </x:c>
      <x:c r="D11" s="35" t="str">
        <x:v>hours</x:v>
      </x:c>
      <x:c r="E11" s="35"/>
      <x:c r="F11" s="35"/>
      <x:c r="G11" s="35"/>
      <x:c r="H11" s="35"/>
      <x:c r="I11" s="35"/>
      <x:c r="J11" s="35"/>
      <x:c r="K11" s="35"/>
    </x:row>
    <x:row r="12" ht="27" customHeight="1">
      <x:c r="A12" s="1"/>
      <x:c r="B12" s="35" t="str">
        <x:v>Monthly subscription fee</x:v>
      </x:c>
      <x:c r="C12" s="67"/>
      <x:c r="D12" s="35" t="str">
        <x:v>EUR</x:v>
      </x:c>
      <x:c r="E12" s="35"/>
      <x:c r="F12" s="35" t="str">
        <x:v>The starting customer share assumes Green Wheels wins
all heavy users described in the original case. Later
test 0.8% instead of 1.0%.</x:v>
      </x:c>
      <x:c r="G12" s="35"/>
      <x:c r="H12" s="35"/>
      <x:c r="I12" s="35"/>
      <x:c r="J12" s="35"/>
      <x:c r="K12" s="35"/>
    </x:row>
    <x:row r="13" ht="27" customHeight="1">
      <x:c r="A13" s="1"/>
      <x:c r="B13" s="35" t="str">
        <x:v>Price per billing interval</x:v>
      </x:c>
      <x:c r="C13" s="67"/>
      <x:c r="D13" s="35" t="str">
        <x:v>EUR</x:v>
      </x:c>
      <x:c r="E13" s="35"/>
      <x:c r="F13" s="35"/>
      <x:c r="G13" s="35"/>
      <x:c r="H13" s="35"/>
      <x:c r="I13" s="35"/>
      <x:c r="J13" s="35"/>
      <x:c r="K13" s="35"/>
    </x:row>
    <x:row r="14" ht="27" customHeight="1">
      <x:c r="A14" s="1"/>
      <x:c r="B14" s="35" t="str">
        <x:v>Months billed per year</x:v>
      </x:c>
      <x:c r="C14" s="78" t="n">
        <x:v>12</x:v>
      </x:c>
      <x:c r="D14" s="35" t="str">
        <x:v>months</x:v>
      </x:c>
      <x:c r="E14" s="35"/>
      <x:c r="F14" s="35"/>
      <x:c r="G14" s="35"/>
      <x:c r="H14" s="35"/>
      <x:c r="I14" s="35"/>
      <x:c r="J14" s="35"/>
      <x:c r="K14" s="35"/>
    </x:row>
    <x:row r="15" ht="27" customHeight="1">
      <x:c r="A15" s="1"/>
      <x:c r="B15" s="35" t="str">
        <x:v>Bicycles</x:v>
      </x:c>
      <x:c r="C15" s="78" t="n">
        <x:v>700</x:v>
      </x:c>
      <x:c r="D15" s="35" t="str">
        <x:v>bikes</x:v>
      </x:c>
      <x:c r="E15" s="35"/>
      <x:c r="F15" s="35"/>
      <x:c r="G15" s="35"/>
      <x:c r="H15" s="35"/>
      <x:c r="I15" s="35"/>
      <x:c r="J15" s="35"/>
      <x:c r="K15" s="35"/>
    </x:row>
    <x:row r="16" ht="27" customHeight="1">
      <x:c r="A16" s="1"/>
      <x:c r="B16" s="35" t="str">
        <x:v>Cost per bicycle</x:v>
      </x:c>
      <x:c r="C16" s="67"/>
      <x:c r="D16" s="35" t="str">
        <x:v>EUR</x:v>
      </x:c>
      <x:c r="E16" s="35"/>
      <x:c r="F16" s="35"/>
      <x:c r="G16" s="35"/>
      <x:c r="H16" s="35"/>
      <x:c r="I16" s="35"/>
      <x:c r="J16" s="35"/>
      <x:c r="K16" s="35"/>
    </x:row>
    <x:row r="17" ht="27" customHeight="1">
      <x:c r="A17" s="1"/>
      <x:c r="B17" s="35" t="str">
        <x:v>App development at date 0</x:v>
      </x:c>
      <x:c r="C17" s="67"/>
      <x:c r="D17" s="35" t="str">
        <x:v>EUR</x:v>
      </x:c>
      <x:c r="E17" s="35"/>
      <x:c r="F17" s="35"/>
      <x:c r="G17" s="35"/>
      <x:c r="H17" s="35"/>
      <x:c r="I17" s="35"/>
      <x:c r="J17" s="35"/>
      <x:c r="K17" s="35"/>
    </x:row>
    <x:row r="18" ht="27" customHeight="1">
      <x:c r="A18" s="1"/>
      <x:c r="B18" s="35" t="str">
        <x:v>Annual administration</x:v>
      </x:c>
      <x:c r="C18" s="67"/>
      <x:c r="D18" s="35" t="str">
        <x:v>EUR</x:v>
      </x:c>
      <x:c r="E18" s="35"/>
      <x:c r="F18" s="35" t="str">
        <x:v>Do not round expected customer counts. The model treats
each year’s customers as full-year subscribers. Prices
and usage per customer stay constant.</x:v>
      </x:c>
      <x:c r="G18" s="35"/>
      <x:c r="H18" s="35"/>
      <x:c r="I18" s="35"/>
      <x:c r="J18" s="35"/>
      <x:c r="K18" s="35"/>
    </x:row>
    <x:row r="19" ht="27" customHeight="1">
      <x:c r="A19" s="1"/>
      <x:c r="B19" s="35" t="str">
        <x:v>Annual customer support</x:v>
      </x:c>
      <x:c r="C19" s="78" t="n">
        <x:v>15000</x:v>
      </x:c>
      <x:c r="D19" s="35" t="str">
        <x:v>EUR</x:v>
      </x:c>
      <x:c r="E19" s="35"/>
      <x:c r="F19" s="35"/>
      <x:c r="G19" s="35"/>
      <x:c r="H19" s="35"/>
      <x:c r="I19" s="35"/>
      <x:c r="J19" s="35"/>
      <x:c r="K19" s="35"/>
    </x:row>
    <x:row r="20" ht="27" customHeight="1">
      <x:c r="A20" s="1"/>
      <x:c r="B20" s="35" t="str">
        <x:v>Maintenance cost per ride</x:v>
      </x:c>
      <x:c r="C20" s="67"/>
      <x:c r="D20" s="35" t="str">
        <x:v>EUR</x:v>
      </x:c>
      <x:c r="E20" s="35"/>
      <x:c r="F20" s="35"/>
      <x:c r="G20" s="35"/>
      <x:c r="H20" s="35"/>
      <x:c r="I20" s="35"/>
      <x:c r="J20" s="35"/>
      <x:c r="K20" s="35"/>
    </x:row>
    <x:row r="21" ht="27" customHeight="1">
      <x:c r="A21" s="1"/>
      <x:c r="B21" s="35" t="str">
        <x:v>Project life / depreciation</x:v>
      </x:c>
      <x:c r="C21" s="78" t="n">
        <x:v>5</x:v>
      </x:c>
      <x:c r="D21" s="35" t="str">
        <x:v>years</x:v>
      </x:c>
      <x:c r="E21" s="35"/>
      <x:c r="F21" s="35"/>
      <x:c r="G21" s="35"/>
      <x:c r="H21" s="35"/>
      <x:c r="I21" s="35"/>
      <x:c r="J21" s="35"/>
      <x:c r="K21" s="35"/>
    </x:row>
    <x:row r="22" ht="27" customHeight="1">
      <x:c r="A22" s="1"/>
      <x:c r="B22" s="35" t="str">
        <x:v>Discount rate</x:v>
      </x:c>
      <x:c r="C22" s="68"/>
      <x:c r="D22" s="35" t="str">
        <x:v>%</x:v>
      </x:c>
      <x:c r="E22" s="35"/>
      <x:c r="F22" s="35"/>
      <x:c r="G22" s="35"/>
      <x:c r="H22" s="35"/>
      <x:c r="I22" s="35"/>
      <x:c r="J22" s="35"/>
      <x:c r="K22" s="35"/>
    </x:row>
    <x:row r="23" ht="27" customHeight="1">
      <x:c r="A23" s="1"/>
      <x:c r="B23" s="35" t="str">
        <x:v>Tax rate</x:v>
      </x:c>
      <x:c r="C23" s="68" t="n">
        <x:v>0.35</x:v>
      </x:c>
      <x:c r="D23" s="35" t="str">
        <x:v>%</x:v>
      </x:c>
      <x:c r="E23" s="35"/>
      <x:c r="F23" s="35"/>
      <x:c r="G23" s="35"/>
      <x:c r="H23" s="35"/>
      <x:c r="I23" s="35"/>
      <x:c r="J23" s="35"/>
      <x:c r="K23" s="35"/>
    </x:row>
    <x:row r="24" ht="23" customHeight="1">
      <x:c r="A24" s="1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</x:row>
    <x:row r="25" ht="23" customHeight="1">
      <x:c r="A25" s="1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</x:row>
    <x:row r="26" ht="23" customHeight="1">
      <x:c r="A26" s="1"/>
      <x:c r="B26" s="35" t="str">
        <x:v>Tax assumption: the date-0 app expense is immediately deductible against other taxable profits. The
project receives that tax saving at date 0. This assumes an investor/company able to use the loss
immediately.</x:v>
      </x:c>
      <x:c r="C26" s="35"/>
      <x:c r="D26" s="35"/>
      <x:c r="E26" s="35"/>
      <x:c r="F26" s="35"/>
      <x:c r="G26" s="35"/>
      <x:c r="H26" s="35"/>
      <x:c r="I26" s="35"/>
      <x:c r="J26" s="35"/>
      <x:c r="K26" s="35"/>
    </x:row>
    <x:row r="27" ht="23" customHeight="1">
      <x:c r="A27" s="1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 ht="23" customHeight="1">
      <x:c r="A28" s="1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 ht="23" customHeight="1">
      <x:c r="A29" s="1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 ht="23" customHeight="1">
      <x:c r="A30" s="1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 ht="23" customHeight="1">
      <x:c r="A31" s="1"/>
      <x:c r="B31" s="35" t="str">
        <x:v>Keep 5 years and the same fleet throughout. No reinvestment, residual value or working capital. These are
explicit simplifications, not claims about a real start-up.</x:v>
      </x:c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 ht="23" customHeight="1">
      <x:c r="A32" s="1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 ht="23" customHeight="1">
      <x:c r="A33" s="1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 ht="23" customHeight="1">
      <x:c r="A34" s="1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</x:row>
    <x:row r="35" ht="23" customHeight="1">
      <x:c r="A35" s="1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</x:row>
    <x:row r="36" ht="23" customHeight="1">
      <x:c r="A36" s="1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</x:row>
    <x:row r="37"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</x:row>
    <x:row r="38"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</x:row>
    <x:row r="39"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</x:row>
    <x:row r="40"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</x:row>
    <x:row r="41"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</x:row>
    <x:row r="42"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</x:row>
    <x:row r="43"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</x:row>
    <x:row r="44"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</x:row>
    <x:row r="45"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</x:row>
  </x:sheetData>
  <x:mergeCells>
    <x:mergeCell ref="B2:I2"/>
    <x:mergeCell ref="B4:I5"/>
    <x:mergeCell ref="F7:I10"/>
    <x:mergeCell ref="F12:I16"/>
    <x:mergeCell ref="F18:I22"/>
    <x:mergeCell ref="B26:I29"/>
    <x:mergeCell ref="B31:I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56657"/>
  </x:sheetPr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4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"/>
      <x:c r="B2" s="50" t="str">
        <x:v>Green Wheels | Decision review</x:v>
      </x:c>
      <x:c r="C2" s="50"/>
      <x:c r="D2" s="50"/>
      <x:c r="E2" s="50"/>
      <x:c r="F2" s="50"/>
      <x:c r="G2" s="50"/>
      <x:c r="H2" s="50"/>
      <x:c r="I2" s="50"/>
      <x:c r="J2" s="35"/>
      <x:c r="K2" s="35"/>
    </x:row>
    <x:row r="3" ht="23" customHeight="1">
      <x:c r="A3" s="1"/>
      <x:c r="B3" s="35"/>
      <x:c r="C3" s="35"/>
      <x:c r="D3" s="35"/>
      <x:c r="E3" s="35"/>
      <x:c r="F3" s="35"/>
      <x:c r="G3" s="35"/>
      <x:c r="H3" s="35"/>
      <x:c r="I3" s="35"/>
      <x:c r="J3" s="35"/>
      <x:c r="K3" s="35"/>
    </x:row>
    <x:row r="4" ht="23" customHeight="1">
      <x:c r="A4" s="1"/>
      <x:c r="B4" s="35" t="str">
        <x:v>Gate 4: use the same Model for each test. Change one input, record the NPV as a value, then restore the
base input.</x:v>
      </x:c>
      <x:c r="C4" s="35"/>
      <x:c r="D4" s="35"/>
      <x:c r="E4" s="35"/>
      <x:c r="F4" s="35"/>
      <x:c r="G4" s="35"/>
      <x:c r="H4" s="35"/>
      <x:c r="I4" s="35"/>
      <x:c r="J4" s="35"/>
      <x:c r="K4" s="35"/>
    </x:row>
    <x:row r="5" ht="23" customHeight="1">
      <x:c r="A5" s="1"/>
      <x:c r="B5" s="35"/>
      <x:c r="C5" s="35"/>
      <x:c r="D5" s="35"/>
      <x:c r="E5" s="35"/>
      <x:c r="F5" s="35"/>
      <x:c r="G5" s="35"/>
      <x:c r="H5" s="35"/>
      <x:c r="I5" s="35"/>
      <x:c r="J5" s="35"/>
      <x:c r="K5" s="35"/>
    </x:row>
    <x:row r="6" ht="23" customHeight="1">
      <x:c r="A6" s="1"/>
      <x:c r="B6" s="35"/>
      <x:c r="C6" s="35"/>
      <x:c r="D6" s="35"/>
      <x:c r="E6" s="35"/>
      <x:c r="F6" s="35"/>
      <x:c r="G6" s="35"/>
      <x:c r="H6" s="35"/>
      <x:c r="I6" s="35"/>
      <x:c r="J6" s="35"/>
      <x:c r="K6" s="35"/>
    </x:row>
    <x:row r="7" ht="23" customHeight="1">
      <x:c r="A7" s="1"/>
      <x:c r="B7" s="54" t="str">
        <x:v>Test</x:v>
      </x:c>
      <x:c r="C7" s="54" t="str">
        <x:v>Input cell</x:v>
      </x:c>
      <x:c r="D7" s="54" t="str">
        <x:v>Base</x:v>
      </x:c>
      <x:c r="E7" s="54" t="str">
        <x:v>Test value</x:v>
      </x:c>
      <x:c r="F7" s="54" t="str">
        <x:v>NPV snapshot</x:v>
      </x:c>
      <x:c r="G7" s="35"/>
      <x:c r="H7" s="35"/>
      <x:c r="I7" s="35"/>
      <x:c r="J7" s="35"/>
      <x:c r="K7" s="35"/>
    </x:row>
    <x:row r="8" ht="29" customHeight="1">
      <x:c r="A8" s="1"/>
      <x:c r="B8" s="35" t="str">
        <x:v>Base case</x:v>
      </x:c>
      <x:c r="C8" s="35" t="str"/>
      <x:c r="D8" s="35"/>
      <x:c r="E8" s="35"/>
      <x:c r="F8" s="74"/>
      <x:c r="G8" s="35"/>
      <x:c r="H8" s="35"/>
      <x:c r="I8" s="35"/>
      <x:c r="J8" s="35"/>
      <x:c r="K8" s="35"/>
    </x:row>
    <x:row r="9" ht="29" customHeight="1">
      <x:c r="A9" s="1"/>
      <x:c r="B9" s="35" t="str">
        <x:v>Fewer customers</x:v>
      </x:c>
      <x:c r="C9" s="35" t="str">
        <x:v>Inputs!C7</x:v>
      </x:c>
      <x:c r="D9" s="75" t="n">
        <x:v>0.01</x:v>
      </x:c>
      <x:c r="E9" s="75" t="n">
        <x:v>0.008</x:v>
      </x:c>
      <x:c r="F9" s="74"/>
      <x:c r="G9" s="35"/>
      <x:c r="H9" s="35"/>
      <x:c r="I9" s="35"/>
      <x:c r="J9" s="35"/>
      <x:c r="K9" s="35"/>
    </x:row>
    <x:row r="10" ht="29" customHeight="1">
      <x:c r="A10" s="1"/>
      <x:c r="B10" s="35" t="str">
        <x:v>Higher cost per ride</x:v>
      </x:c>
      <x:c r="C10" s="35" t="str">
        <x:v>Inputs!C20</x:v>
      </x:c>
      <x:c r="D10" s="76" t="n">
        <x:v>0.33</x:v>
      </x:c>
      <x:c r="E10" s="76" t="n">
        <x:v>0.45</x:v>
      </x:c>
      <x:c r="F10" s="74"/>
      <x:c r="G10" s="35"/>
      <x:c r="H10" s="35"/>
      <x:c r="I10" s="35"/>
      <x:c r="J10" s="35"/>
      <x:c r="K10" s="35"/>
    </x:row>
    <x:row r="11" ht="29" customHeight="1">
      <x:c r="A11" s="1"/>
      <x:c r="B11" s="35" t="str">
        <x:v>Higher discount rate</x:v>
      </x:c>
      <x:c r="C11" s="35" t="str">
        <x:v>Inputs!C22</x:v>
      </x:c>
      <x:c r="D11" s="75" t="n">
        <x:v>0.08</x:v>
      </x:c>
      <x:c r="E11" s="75" t="n">
        <x:v>0.12</x:v>
      </x:c>
      <x:c r="F11" s="74"/>
      <x:c r="G11" s="35"/>
      <x:c r="H11" s="35"/>
      <x:c r="I11" s="35"/>
      <x:c r="J11" s="35"/>
      <x:c r="K11" s="35"/>
    </x:row>
    <x:row r="12" ht="23" customHeight="1">
      <x:c r="A12" s="1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</x:row>
    <x:row r="13" ht="23" customHeight="1">
      <x:c r="A13" s="1"/>
      <x:c r="B13" s="35" t="str">
        <x:v>Snapshots do not update automatically. Re-run every test after changing the model. Restore all base
inputs before submitting the gate.</x:v>
      </x:c>
      <x:c r="C13" s="35"/>
      <x:c r="D13" s="35"/>
      <x:c r="E13" s="35"/>
      <x:c r="F13" s="35"/>
      <x:c r="G13" s="35"/>
      <x:c r="H13" s="35"/>
      <x:c r="I13" s="35"/>
      <x:c r="J13" s="35"/>
      <x:c r="K13" s="35"/>
    </x:row>
    <x:row r="14" ht="23" customHeight="1">
      <x:c r="A14" s="1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</x:row>
    <x:row r="15" ht="23" customHeight="1">
      <x:c r="A15" s="1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</x:row>
    <x:row r="16" ht="23" customHeight="1">
      <x:c r="A16" s="1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</x:row>
    <x:row r="17" ht="23" customHeight="1">
      <x:c r="A17" s="1"/>
      <x:c r="B17" s="54" t="str">
        <x:v>Optional: NPV profile</x:v>
      </x:c>
      <x:c r="C17" s="54"/>
      <x:c r="D17" s="54"/>
      <x:c r="E17" s="54"/>
      <x:c r="F17" s="54"/>
      <x:c r="G17" s="54"/>
      <x:c r="H17" s="54"/>
      <x:c r="I17" s="54"/>
      <x:c r="J17" s="35"/>
      <x:c r="K17" s="35"/>
    </x:row>
    <x:row r="18" ht="23" customHeight="1">
      <x:c r="A18" s="1"/>
      <x:c r="B18" s="35" t="str">
        <x:v>Discount rate</x:v>
      </x:c>
      <x:c r="C18" s="35" t="str">
        <x:v>NPV (EUR)</x:v>
      </x:c>
      <x:c r="D18" s="35"/>
      <x:c r="E18" s="35"/>
      <x:c r="F18" s="35"/>
      <x:c r="G18" s="35"/>
      <x:c r="H18" s="35"/>
      <x:c r="I18" s="35"/>
      <x:c r="J18" s="35"/>
      <x:c r="K18" s="35"/>
    </x:row>
    <x:row r="19" ht="23" customHeight="1">
      <x:c r="A19" s="1"/>
      <x:c r="B19" s="77" t="n">
        <x:v>0</x:v>
      </x:c>
      <x:c r="C19" s="51"/>
      <x:c r="D19" s="35"/>
      <x:c r="E19" s="35" t="str">
        <x:v>Use the completed cash-flow row in Model. Write one NPV
formula with a relative rate reference and absolute
cash-flow references. Fill down.</x:v>
      </x:c>
      <x:c r="F19" s="35"/>
      <x:c r="G19" s="35"/>
      <x:c r="H19" s="35"/>
      <x:c r="I19" s="35"/>
      <x:c r="J19" s="35"/>
      <x:c r="K19" s="35"/>
    </x:row>
    <x:row r="20" ht="23" customHeight="1">
      <x:c r="A20" s="1"/>
      <x:c r="B20" s="77" t="n">
        <x:v>0.1</x:v>
      </x:c>
      <x:c r="C20" s="51"/>
      <x:c r="D20" s="35"/>
      <x:c r="E20" s="35"/>
      <x:c r="F20" s="35"/>
      <x:c r="G20" s="35"/>
      <x:c r="H20" s="35"/>
      <x:c r="I20" s="35"/>
      <x:c r="J20" s="35"/>
      <x:c r="K20" s="35"/>
    </x:row>
    <x:row r="21" ht="23" customHeight="1">
      <x:c r="A21" s="1"/>
      <x:c r="B21" s="77" t="n">
        <x:v>0.2</x:v>
      </x:c>
      <x:c r="C21" s="51"/>
      <x:c r="D21" s="35"/>
      <x:c r="E21" s="35"/>
      <x:c r="F21" s="35"/>
      <x:c r="G21" s="35"/>
      <x:c r="H21" s="35"/>
      <x:c r="I21" s="35"/>
      <x:c r="J21" s="35"/>
      <x:c r="K21" s="35"/>
    </x:row>
    <x:row r="22" ht="23" customHeight="1">
      <x:c r="A22" s="1"/>
      <x:c r="B22" s="77" t="n">
        <x:v>0.30000000000000004</x:v>
      </x:c>
      <x:c r="C22" s="51"/>
      <x:c r="D22" s="35"/>
      <x:c r="E22" s="35"/>
      <x:c r="F22" s="35"/>
      <x:c r="G22" s="35"/>
      <x:c r="H22" s="35"/>
      <x:c r="I22" s="35"/>
      <x:c r="J22" s="35"/>
      <x:c r="K22" s="35"/>
    </x:row>
    <x:row r="23" ht="23" customHeight="1">
      <x:c r="A23" s="1"/>
      <x:c r="B23" s="77" t="n">
        <x:v>0.4</x:v>
      </x:c>
      <x:c r="C23" s="51"/>
      <x:c r="D23" s="35"/>
      <x:c r="E23" s="35"/>
      <x:c r="F23" s="35"/>
      <x:c r="G23" s="35"/>
      <x:c r="H23" s="35"/>
      <x:c r="I23" s="35"/>
      <x:c r="J23" s="35"/>
      <x:c r="K23" s="35"/>
    </x:row>
    <x:row r="24" ht="23" customHeight="1">
      <x:c r="A24" s="1"/>
      <x:c r="B24" s="77" t="n">
        <x:v>0.5</x:v>
      </x:c>
      <x:c r="C24" s="51"/>
      <x:c r="D24" s="35"/>
      <x:c r="E24" s="35" t="str">
        <x:v>Create a scatter chart with discount rate on the x-axis
and NPV on the y-axis. The zero crossing should agree
with IRR.</x:v>
      </x:c>
      <x:c r="F24" s="35"/>
      <x:c r="G24" s="35"/>
      <x:c r="H24" s="35"/>
      <x:c r="I24" s="35"/>
      <x:c r="J24" s="35"/>
      <x:c r="K24" s="35"/>
    </x:row>
    <x:row r="25" ht="23" customHeight="1">
      <x:c r="A25" s="1"/>
      <x:c r="B25" s="77" t="n">
        <x:v>0.6000000000000001</x:v>
      </x:c>
      <x:c r="C25" s="51"/>
      <x:c r="D25" s="35"/>
      <x:c r="E25" s="35"/>
      <x:c r="F25" s="35"/>
      <x:c r="G25" s="35"/>
      <x:c r="H25" s="35"/>
      <x:c r="I25" s="35"/>
      <x:c r="J25" s="35"/>
      <x:c r="K25" s="35"/>
    </x:row>
    <x:row r="26" ht="23" customHeight="1">
      <x:c r="A26" s="1"/>
      <x:c r="B26" s="77" t="n">
        <x:v>0.7000000000000001</x:v>
      </x:c>
      <x:c r="C26" s="51"/>
      <x:c r="D26" s="35"/>
      <x:c r="E26" s="35"/>
      <x:c r="F26" s="35"/>
      <x:c r="G26" s="35"/>
      <x:c r="H26" s="35"/>
      <x:c r="I26" s="35"/>
      <x:c r="J26" s="35"/>
      <x:c r="K26" s="35"/>
    </x:row>
    <x:row r="27" ht="23" customHeight="1">
      <x:c r="A27" s="1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</x:row>
    <x:row r="28" ht="23" customHeight="1">
      <x:c r="A28" s="1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</x:row>
    <x:row r="29" ht="23" customHeight="1">
      <x:c r="A29" s="1"/>
      <x:c r="B29" s="35" t="str">
        <x:v>Discussion: identify two assumptions most in need of evidence. Explain one risk and mitigation for each.
Check whether 700 bikes can support the expected daily trips, including peak demand and downtime.</x:v>
      </x:c>
      <x:c r="C29" s="35"/>
      <x:c r="D29" s="35"/>
      <x:c r="E29" s="35"/>
      <x:c r="F29" s="35"/>
      <x:c r="G29" s="35"/>
      <x:c r="H29" s="35"/>
      <x:c r="I29" s="35"/>
      <x:c r="J29" s="35"/>
      <x:c r="K29" s="35"/>
    </x:row>
    <x:row r="30" ht="23" customHeight="1">
      <x:c r="A30" s="1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</x:row>
    <x:row r="31" ht="23" customHeight="1">
      <x:c r="A31" s="1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</x:row>
    <x:row r="32" ht="23" customHeight="1">
      <x:c r="A32" s="1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</x:row>
    <x:row r="33" ht="23" customHeight="1">
      <x:c r="A33" s="1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</x:row>
    <x:row r="34"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</x:row>
    <x:row r="35"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</x:row>
    <x:row r="36"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</x:row>
    <x:row r="37"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</x:row>
    <x:row r="38"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</x:row>
    <x:row r="39"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</x:row>
    <x:row r="40"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</x:row>
    <x:row r="41"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</x:row>
    <x:row r="42"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</x:row>
    <x:row r="43"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</x:row>
    <x:row r="44"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</x:row>
    <x:row r="45"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</x:row>
  </x:sheetData>
  <x:mergeCells>
    <x:mergeCell ref="B2:I2"/>
    <x:mergeCell ref="B4:I5"/>
    <x:mergeCell ref="B13:I15"/>
    <x:mergeCell ref="E19:I22"/>
    <x:mergeCell ref="E24:I27"/>
    <x:mergeCell ref="B29:I32"/>
  </x:mergeCells>
  <x:pageMargins left="0.7" right="0.7" top="0.75" bottom="0.75" header="0.3" footer="0.3"/>
</x:worksheet>
</file>